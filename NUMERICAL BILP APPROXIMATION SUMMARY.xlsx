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LP\"/>
    </mc:Choice>
  </mc:AlternateContent>
  <xr:revisionPtr revIDLastSave="0" documentId="13_ncr:1_{F3A0B5B7-E826-46D3-83FD-F6307312888B}" xr6:coauthVersionLast="47" xr6:coauthVersionMax="47" xr10:uidLastSave="{00000000-0000-0000-0000-000000000000}"/>
  <bookViews>
    <workbookView xWindow="-120" yWindow="-120" windowWidth="29040" windowHeight="15840" xr2:uid="{CA711B7C-3EA0-42ED-8765-203366D221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7" i="1" l="1"/>
  <c r="L82" i="1"/>
  <c r="H82" i="1"/>
  <c r="L77" i="1"/>
  <c r="L72" i="1"/>
  <c r="H72" i="1"/>
  <c r="L67" i="1"/>
  <c r="H67" i="1"/>
  <c r="L62" i="1"/>
  <c r="H62" i="1"/>
  <c r="L57" i="1"/>
  <c r="H57" i="1"/>
  <c r="H52" i="1"/>
  <c r="H47" i="1"/>
  <c r="L52" i="1"/>
  <c r="L47" i="1"/>
  <c r="P42" i="1"/>
  <c r="L42" i="1"/>
  <c r="P37" i="1"/>
  <c r="L37" i="1"/>
  <c r="P32" i="1"/>
  <c r="L32" i="1"/>
  <c r="H32" i="1"/>
  <c r="P27" i="1"/>
  <c r="L27" i="1"/>
  <c r="H27" i="1"/>
  <c r="P22" i="1"/>
  <c r="L22" i="1"/>
  <c r="H22" i="1"/>
  <c r="P17" i="1"/>
  <c r="L17" i="1"/>
  <c r="H17" i="1"/>
  <c r="P12" i="1"/>
  <c r="P7" i="1"/>
  <c r="L12" i="1"/>
  <c r="H12" i="1"/>
  <c r="L7" i="1"/>
  <c r="H7" i="1"/>
</calcChain>
</file>

<file path=xl/sharedStrings.xml><?xml version="1.0" encoding="utf-8"?>
<sst xmlns="http://schemas.openxmlformats.org/spreadsheetml/2006/main" count="497" uniqueCount="37">
  <si>
    <t>Variables</t>
  </si>
  <si>
    <t>Constraints</t>
  </si>
  <si>
    <t>NUMERICAL BILP APPROXIMATION SUMMARY</t>
  </si>
  <si>
    <t>Exact</t>
  </si>
  <si>
    <t>Maximum</t>
  </si>
  <si>
    <t>Upper</t>
  </si>
  <si>
    <t>Bound</t>
  </si>
  <si>
    <t>BILP</t>
  </si>
  <si>
    <t>Ratio</t>
  </si>
  <si>
    <t>Beasley's</t>
  </si>
  <si>
    <t>Best</t>
  </si>
  <si>
    <t>Execution</t>
  </si>
  <si>
    <t>Seconds</t>
  </si>
  <si>
    <t>Maximization Summary</t>
  </si>
  <si>
    <t>Approx</t>
  </si>
  <si>
    <t>R Relaxed LP Approximation</t>
  </si>
  <si>
    <t>R Collapsed Dual Approximation</t>
  </si>
  <si>
    <t>Python Collapsed Dual Approximation</t>
  </si>
  <si>
    <t>Mirror-Image Minimization Summary</t>
  </si>
  <si>
    <t>Minimum</t>
  </si>
  <si>
    <t>Lower</t>
  </si>
  <si>
    <t>NA</t>
  </si>
  <si>
    <t>Small Textbook Maximization Problem</t>
  </si>
  <si>
    <t>Beasley Problem mknap1_7</t>
  </si>
  <si>
    <t>Beasley Problem mknapcb9_30</t>
  </si>
  <si>
    <t>Large Randomized Problem</t>
  </si>
  <si>
    <t>All code was executed on a Dell XPS Tower PC.</t>
  </si>
  <si>
    <t>Small Textbook Minimization Problem</t>
  </si>
  <si>
    <t>Minimization Summary</t>
  </si>
  <si>
    <t>Mirror-Image Maximization Summary</t>
  </si>
  <si>
    <t>Beasley Problem scpe5</t>
  </si>
  <si>
    <t>Beasley Problem scpa5</t>
  </si>
  <si>
    <t>Beasley Problem scpnre5</t>
  </si>
  <si>
    <t>J. E. Beasley's problems were downloaded from his OR-Library at people.brunel.ac.uk/~mastjjb/jeb/info.html.</t>
  </si>
  <si>
    <t>Approximation ratios are relatively useless for Beasley's set covering problems.</t>
  </si>
  <si>
    <t>Less so for set covering problems and their mirror images.</t>
  </si>
  <si>
    <t>Logical, precise results for multidimensional knapsack problems and their mirror images.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</si>
</sst>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4" xfId="0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3" xfId="0" applyBorder="1"/>
    <xf numFmtId="0" fontId="2" fillId="0" borderId="13" xfId="0" applyFont="1" applyBorder="1"/>
    <xf numFmtId="0" fontId="0" fillId="0" borderId="5" xfId="0" applyBorder="1"/>
    <xf numFmtId="0" fontId="2" fillId="0" borderId="3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14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8" xfId="0" applyBorder="1"/>
    <xf numFmtId="0" fontId="0" fillId="0" borderId="14" xfId="0" applyBorder="1"/>
    <xf numFmtId="0" fontId="2" fillId="0" borderId="8" xfId="0" applyFont="1" applyBorder="1"/>
    <xf numFmtId="0" fontId="2" fillId="0" borderId="9" xfId="0" applyFont="1" applyBorder="1"/>
    <xf numFmtId="2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166" fontId="2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BA98A-E0D8-44CC-977F-11CFFFC091FA}">
  <dimension ref="A1:Q88"/>
  <sheetViews>
    <sheetView tabSelected="1" workbookViewId="0">
      <selection activeCell="J103" sqref="J103"/>
    </sheetView>
  </sheetViews>
  <sheetFormatPr defaultRowHeight="15" x14ac:dyDescent="0.25"/>
  <cols>
    <col min="1" max="1" width="46" bestFit="1" customWidth="1"/>
    <col min="2" max="3" width="12.7109375" customWidth="1"/>
    <col min="4" max="17" width="10.7109375" customWidth="1"/>
  </cols>
  <sheetData>
    <row r="1" spans="1:17" ht="31.5" x14ac:dyDescent="0.5">
      <c r="A1" s="34" t="s">
        <v>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3" spans="1:17" ht="15.75" x14ac:dyDescent="0.25">
      <c r="A3" s="13"/>
      <c r="B3" s="15"/>
      <c r="C3" s="16"/>
      <c r="D3" s="36" t="s">
        <v>13</v>
      </c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7"/>
    </row>
    <row r="4" spans="1:17" ht="15.75" x14ac:dyDescent="0.25">
      <c r="A4" s="11"/>
      <c r="B4" s="12"/>
      <c r="C4" s="17"/>
      <c r="D4" s="14"/>
      <c r="E4" s="8"/>
      <c r="F4" s="38" t="s">
        <v>15</v>
      </c>
      <c r="G4" s="39"/>
      <c r="H4" s="39"/>
      <c r="I4" s="40"/>
      <c r="J4" s="41" t="s">
        <v>16</v>
      </c>
      <c r="K4" s="36"/>
      <c r="L4" s="36"/>
      <c r="M4" s="37"/>
      <c r="N4" s="41" t="s">
        <v>17</v>
      </c>
      <c r="O4" s="36"/>
      <c r="P4" s="36"/>
      <c r="Q4" s="37"/>
    </row>
    <row r="5" spans="1:17" ht="15.75" x14ac:dyDescent="0.25">
      <c r="A5" s="11"/>
      <c r="B5" s="12"/>
      <c r="C5" s="17"/>
      <c r="D5" s="3" t="s">
        <v>3</v>
      </c>
      <c r="E5" s="9" t="s">
        <v>9</v>
      </c>
      <c r="F5" s="9" t="s">
        <v>7</v>
      </c>
      <c r="G5" s="9" t="s">
        <v>5</v>
      </c>
      <c r="H5" s="9" t="s">
        <v>14</v>
      </c>
      <c r="I5" s="9" t="s">
        <v>11</v>
      </c>
      <c r="J5" s="9" t="s">
        <v>7</v>
      </c>
      <c r="K5" s="9" t="s">
        <v>5</v>
      </c>
      <c r="L5" s="9" t="s">
        <v>14</v>
      </c>
      <c r="M5" s="9" t="s">
        <v>11</v>
      </c>
      <c r="N5" s="9" t="s">
        <v>7</v>
      </c>
      <c r="O5" s="9" t="s">
        <v>5</v>
      </c>
      <c r="P5" s="9" t="s">
        <v>14</v>
      </c>
      <c r="Q5" s="9" t="s">
        <v>11</v>
      </c>
    </row>
    <row r="6" spans="1:17" ht="15.75" x14ac:dyDescent="0.25">
      <c r="A6" s="11"/>
      <c r="B6" s="18"/>
      <c r="C6" s="19"/>
      <c r="D6" s="7" t="s">
        <v>4</v>
      </c>
      <c r="E6" s="10" t="s">
        <v>10</v>
      </c>
      <c r="F6" s="10" t="s">
        <v>14</v>
      </c>
      <c r="G6" s="10" t="s">
        <v>6</v>
      </c>
      <c r="H6" s="10" t="s">
        <v>8</v>
      </c>
      <c r="I6" s="10" t="s">
        <v>12</v>
      </c>
      <c r="J6" s="10" t="s">
        <v>14</v>
      </c>
      <c r="K6" s="10" t="s">
        <v>6</v>
      </c>
      <c r="L6" s="10" t="s">
        <v>8</v>
      </c>
      <c r="M6" s="10" t="s">
        <v>12</v>
      </c>
      <c r="N6" s="10" t="s">
        <v>14</v>
      </c>
      <c r="O6" s="10" t="s">
        <v>6</v>
      </c>
      <c r="P6" s="10" t="s">
        <v>8</v>
      </c>
      <c r="Q6" s="10" t="s">
        <v>12</v>
      </c>
    </row>
    <row r="7" spans="1:17" ht="15.75" x14ac:dyDescent="0.25">
      <c r="A7" s="35" t="s">
        <v>22</v>
      </c>
      <c r="B7" s="6" t="s">
        <v>0</v>
      </c>
      <c r="C7" s="7" t="s">
        <v>1</v>
      </c>
      <c r="D7" s="2">
        <v>19</v>
      </c>
      <c r="E7" s="4" t="s">
        <v>21</v>
      </c>
      <c r="F7" s="4">
        <v>19</v>
      </c>
      <c r="G7" s="4">
        <v>22</v>
      </c>
      <c r="H7" s="5">
        <f>F7/G7</f>
        <v>0.86363636363636365</v>
      </c>
      <c r="I7" s="4">
        <v>1.5E-3</v>
      </c>
      <c r="J7" s="4">
        <v>19</v>
      </c>
      <c r="K7" s="4">
        <v>22</v>
      </c>
      <c r="L7" s="5">
        <f>J7/K7</f>
        <v>0.86363636363636365</v>
      </c>
      <c r="M7" s="4">
        <v>4.7500000000000001E-2</v>
      </c>
      <c r="N7" s="4">
        <v>19</v>
      </c>
      <c r="O7" s="4">
        <v>22</v>
      </c>
      <c r="P7" s="5">
        <f>N7/O7</f>
        <v>0.86363636363636365</v>
      </c>
      <c r="Q7" s="4">
        <v>1.14E-2</v>
      </c>
    </row>
    <row r="8" spans="1:17" ht="15.75" x14ac:dyDescent="0.25">
      <c r="A8" s="35"/>
      <c r="B8" s="18">
        <v>4</v>
      </c>
      <c r="C8" s="19">
        <v>3</v>
      </c>
      <c r="D8" s="36" t="s">
        <v>18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7"/>
    </row>
    <row r="9" spans="1:17" ht="15.75" x14ac:dyDescent="0.25">
      <c r="A9" s="11"/>
      <c r="B9" s="11"/>
      <c r="C9" s="21"/>
      <c r="D9" s="14"/>
      <c r="E9" s="8"/>
      <c r="F9" s="41" t="s">
        <v>15</v>
      </c>
      <c r="G9" s="36"/>
      <c r="H9" s="36"/>
      <c r="I9" s="37"/>
      <c r="J9" s="41" t="s">
        <v>16</v>
      </c>
      <c r="K9" s="36"/>
      <c r="L9" s="36"/>
      <c r="M9" s="37"/>
      <c r="N9" s="41" t="s">
        <v>17</v>
      </c>
      <c r="O9" s="36"/>
      <c r="P9" s="36"/>
      <c r="Q9" s="37"/>
    </row>
    <row r="10" spans="1:17" ht="15.75" x14ac:dyDescent="0.25">
      <c r="A10" s="11"/>
      <c r="B10" s="12"/>
      <c r="C10" s="17"/>
      <c r="D10" s="3" t="s">
        <v>3</v>
      </c>
      <c r="E10" s="9" t="s">
        <v>9</v>
      </c>
      <c r="F10" s="9" t="s">
        <v>7</v>
      </c>
      <c r="G10" s="9" t="s">
        <v>20</v>
      </c>
      <c r="H10" s="9" t="s">
        <v>14</v>
      </c>
      <c r="I10" s="9" t="s">
        <v>11</v>
      </c>
      <c r="J10" s="9" t="s">
        <v>7</v>
      </c>
      <c r="K10" s="9" t="s">
        <v>20</v>
      </c>
      <c r="L10" s="9" t="s">
        <v>14</v>
      </c>
      <c r="M10" s="9" t="s">
        <v>11</v>
      </c>
      <c r="N10" s="9" t="s">
        <v>7</v>
      </c>
      <c r="O10" s="9" t="s">
        <v>20</v>
      </c>
      <c r="P10" s="9" t="s">
        <v>14</v>
      </c>
      <c r="Q10" s="9" t="s">
        <v>11</v>
      </c>
    </row>
    <row r="11" spans="1:17" ht="15.75" x14ac:dyDescent="0.25">
      <c r="A11" s="11"/>
      <c r="B11" s="12"/>
      <c r="C11" s="17"/>
      <c r="D11" s="7" t="s">
        <v>19</v>
      </c>
      <c r="E11" s="10" t="s">
        <v>10</v>
      </c>
      <c r="F11" s="10" t="s">
        <v>14</v>
      </c>
      <c r="G11" s="10" t="s">
        <v>6</v>
      </c>
      <c r="H11" s="10" t="s">
        <v>8</v>
      </c>
      <c r="I11" s="10" t="s">
        <v>12</v>
      </c>
      <c r="J11" s="10" t="s">
        <v>14</v>
      </c>
      <c r="K11" s="10" t="s">
        <v>6</v>
      </c>
      <c r="L11" s="10" t="s">
        <v>8</v>
      </c>
      <c r="M11" s="10" t="s">
        <v>12</v>
      </c>
      <c r="N11" s="10" t="s">
        <v>14</v>
      </c>
      <c r="O11" s="10" t="s">
        <v>6</v>
      </c>
      <c r="P11" s="10" t="s">
        <v>8</v>
      </c>
      <c r="Q11" s="10" t="s">
        <v>12</v>
      </c>
    </row>
    <row r="12" spans="1:17" ht="15.75" x14ac:dyDescent="0.25">
      <c r="A12" s="20"/>
      <c r="B12" s="22"/>
      <c r="C12" s="23"/>
      <c r="D12" s="2">
        <v>23</v>
      </c>
      <c r="E12" s="4" t="s">
        <v>21</v>
      </c>
      <c r="F12" s="4">
        <v>23</v>
      </c>
      <c r="G12" s="5">
        <v>21.725000000000001</v>
      </c>
      <c r="H12" s="5">
        <f>F12/G12</f>
        <v>1.0586881472957421</v>
      </c>
      <c r="I12" s="4">
        <v>1.5E-3</v>
      </c>
      <c r="J12" s="4">
        <v>23</v>
      </c>
      <c r="K12" s="4">
        <v>21.724900000000002</v>
      </c>
      <c r="L12" s="5">
        <f>J12/K12</f>
        <v>1.0586930204511873</v>
      </c>
      <c r="M12" s="4">
        <v>2.8999999999999998E-3</v>
      </c>
      <c r="N12" s="4">
        <v>23</v>
      </c>
      <c r="O12" s="4">
        <v>21.723099999999999</v>
      </c>
      <c r="P12" s="5">
        <f>N12/O12</f>
        <v>1.0587807449213051</v>
      </c>
      <c r="Q12" s="5">
        <v>0.01</v>
      </c>
    </row>
    <row r="13" spans="1:17" ht="15.75" x14ac:dyDescent="0.25">
      <c r="A13" s="13"/>
      <c r="B13" s="15"/>
      <c r="C13" s="16"/>
      <c r="D13" s="36" t="s">
        <v>13</v>
      </c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7"/>
    </row>
    <row r="14" spans="1:17" ht="15.75" x14ac:dyDescent="0.25">
      <c r="A14" s="11"/>
      <c r="B14" s="12"/>
      <c r="C14" s="17"/>
      <c r="D14" s="14"/>
      <c r="E14" s="8"/>
      <c r="F14" s="38" t="s">
        <v>15</v>
      </c>
      <c r="G14" s="39"/>
      <c r="H14" s="39"/>
      <c r="I14" s="40"/>
      <c r="J14" s="41" t="s">
        <v>16</v>
      </c>
      <c r="K14" s="36"/>
      <c r="L14" s="36"/>
      <c r="M14" s="37"/>
      <c r="N14" s="41" t="s">
        <v>17</v>
      </c>
      <c r="O14" s="36"/>
      <c r="P14" s="36"/>
      <c r="Q14" s="37"/>
    </row>
    <row r="15" spans="1:17" ht="15.75" x14ac:dyDescent="0.25">
      <c r="A15" s="11"/>
      <c r="B15" s="12"/>
      <c r="C15" s="17"/>
      <c r="D15" s="3" t="s">
        <v>3</v>
      </c>
      <c r="E15" s="9" t="s">
        <v>9</v>
      </c>
      <c r="F15" s="9" t="s">
        <v>7</v>
      </c>
      <c r="G15" s="9" t="s">
        <v>5</v>
      </c>
      <c r="H15" s="9" t="s">
        <v>14</v>
      </c>
      <c r="I15" s="9" t="s">
        <v>11</v>
      </c>
      <c r="J15" s="9" t="s">
        <v>7</v>
      </c>
      <c r="K15" s="9" t="s">
        <v>5</v>
      </c>
      <c r="L15" s="9" t="s">
        <v>14</v>
      </c>
      <c r="M15" s="9" t="s">
        <v>11</v>
      </c>
      <c r="N15" s="9" t="s">
        <v>7</v>
      </c>
      <c r="O15" s="9" t="s">
        <v>5</v>
      </c>
      <c r="P15" s="9" t="s">
        <v>14</v>
      </c>
      <c r="Q15" s="9" t="s">
        <v>11</v>
      </c>
    </row>
    <row r="16" spans="1:17" ht="15.75" x14ac:dyDescent="0.25">
      <c r="A16" s="11"/>
      <c r="B16" s="18"/>
      <c r="C16" s="19"/>
      <c r="D16" s="7" t="s">
        <v>4</v>
      </c>
      <c r="E16" s="10" t="s">
        <v>10</v>
      </c>
      <c r="F16" s="10" t="s">
        <v>14</v>
      </c>
      <c r="G16" s="10" t="s">
        <v>6</v>
      </c>
      <c r="H16" s="10" t="s">
        <v>8</v>
      </c>
      <c r="I16" s="10" t="s">
        <v>12</v>
      </c>
      <c r="J16" s="10" t="s">
        <v>14</v>
      </c>
      <c r="K16" s="10" t="s">
        <v>6</v>
      </c>
      <c r="L16" s="10" t="s">
        <v>8</v>
      </c>
      <c r="M16" s="10" t="s">
        <v>12</v>
      </c>
      <c r="N16" s="10" t="s">
        <v>14</v>
      </c>
      <c r="O16" s="10" t="s">
        <v>6</v>
      </c>
      <c r="P16" s="10" t="s">
        <v>8</v>
      </c>
      <c r="Q16" s="10" t="s">
        <v>12</v>
      </c>
    </row>
    <row r="17" spans="1:17" ht="15.75" x14ac:dyDescent="0.25">
      <c r="A17" s="35" t="s">
        <v>23</v>
      </c>
      <c r="B17" s="6" t="s">
        <v>0</v>
      </c>
      <c r="C17" s="7" t="s">
        <v>1</v>
      </c>
      <c r="D17" s="2">
        <v>16537</v>
      </c>
      <c r="E17" s="4" t="s">
        <v>21</v>
      </c>
      <c r="F17" s="4">
        <v>16436</v>
      </c>
      <c r="G17" s="4">
        <v>16612.82</v>
      </c>
      <c r="H17" s="5">
        <f>F17/G17</f>
        <v>0.98935641269814523</v>
      </c>
      <c r="I17" s="4">
        <v>3.3999999999999998E-3</v>
      </c>
      <c r="J17" s="4">
        <v>16436</v>
      </c>
      <c r="K17" s="4">
        <v>16612.830000000002</v>
      </c>
      <c r="L17" s="5">
        <f>J17/K17</f>
        <v>0.98935581716059207</v>
      </c>
      <c r="M17" s="4">
        <v>4.1000000000000003E-3</v>
      </c>
      <c r="N17" s="4">
        <v>16436</v>
      </c>
      <c r="O17" s="4">
        <v>16613.95</v>
      </c>
      <c r="P17" s="5">
        <f>N17/O17</f>
        <v>0.9892891214912769</v>
      </c>
      <c r="Q17" s="5">
        <v>4.0000000000000001E-3</v>
      </c>
    </row>
    <row r="18" spans="1:17" ht="15.75" x14ac:dyDescent="0.25">
      <c r="A18" s="35"/>
      <c r="B18" s="18">
        <v>50</v>
      </c>
      <c r="C18" s="19">
        <v>5</v>
      </c>
      <c r="D18" s="36" t="s">
        <v>18</v>
      </c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7"/>
    </row>
    <row r="19" spans="1:17" ht="15.75" x14ac:dyDescent="0.25">
      <c r="A19" s="11"/>
      <c r="B19" s="11"/>
      <c r="C19" s="21"/>
      <c r="D19" s="14"/>
      <c r="E19" s="8"/>
      <c r="F19" s="41" t="s">
        <v>15</v>
      </c>
      <c r="G19" s="36"/>
      <c r="H19" s="36"/>
      <c r="I19" s="37"/>
      <c r="J19" s="41" t="s">
        <v>16</v>
      </c>
      <c r="K19" s="36"/>
      <c r="L19" s="36"/>
      <c r="M19" s="37"/>
      <c r="N19" s="41" t="s">
        <v>17</v>
      </c>
      <c r="O19" s="36"/>
      <c r="P19" s="36"/>
      <c r="Q19" s="37"/>
    </row>
    <row r="20" spans="1:17" ht="15.75" x14ac:dyDescent="0.25">
      <c r="A20" s="11"/>
      <c r="B20" s="12"/>
      <c r="C20" s="17"/>
      <c r="D20" s="3" t="s">
        <v>3</v>
      </c>
      <c r="E20" s="9" t="s">
        <v>9</v>
      </c>
      <c r="F20" s="9" t="s">
        <v>7</v>
      </c>
      <c r="G20" s="9" t="s">
        <v>20</v>
      </c>
      <c r="H20" s="9" t="s">
        <v>14</v>
      </c>
      <c r="I20" s="9" t="s">
        <v>11</v>
      </c>
      <c r="J20" s="9" t="s">
        <v>7</v>
      </c>
      <c r="K20" s="9" t="s">
        <v>20</v>
      </c>
      <c r="L20" s="9" t="s">
        <v>14</v>
      </c>
      <c r="M20" s="9" t="s">
        <v>11</v>
      </c>
      <c r="N20" s="9" t="s">
        <v>7</v>
      </c>
      <c r="O20" s="9" t="s">
        <v>20</v>
      </c>
      <c r="P20" s="9" t="s">
        <v>14</v>
      </c>
      <c r="Q20" s="9" t="s">
        <v>11</v>
      </c>
    </row>
    <row r="21" spans="1:17" ht="15.75" x14ac:dyDescent="0.25">
      <c r="A21" s="11"/>
      <c r="B21" s="12"/>
      <c r="C21" s="17"/>
      <c r="D21" s="7" t="s">
        <v>19</v>
      </c>
      <c r="E21" s="10" t="s">
        <v>10</v>
      </c>
      <c r="F21" s="10" t="s">
        <v>14</v>
      </c>
      <c r="G21" s="10" t="s">
        <v>6</v>
      </c>
      <c r="H21" s="10" t="s">
        <v>8</v>
      </c>
      <c r="I21" s="10" t="s">
        <v>12</v>
      </c>
      <c r="J21" s="10" t="s">
        <v>14</v>
      </c>
      <c r="K21" s="10" t="s">
        <v>6</v>
      </c>
      <c r="L21" s="10" t="s">
        <v>8</v>
      </c>
      <c r="M21" s="10" t="s">
        <v>12</v>
      </c>
      <c r="N21" s="10" t="s">
        <v>14</v>
      </c>
      <c r="O21" s="10" t="s">
        <v>6</v>
      </c>
      <c r="P21" s="10" t="s">
        <v>8</v>
      </c>
      <c r="Q21" s="10" t="s">
        <v>12</v>
      </c>
    </row>
    <row r="22" spans="1:17" ht="15.75" x14ac:dyDescent="0.25">
      <c r="A22" s="20"/>
      <c r="B22" s="22"/>
      <c r="C22" s="23"/>
      <c r="D22" s="2">
        <v>11162</v>
      </c>
      <c r="E22" s="4" t="s">
        <v>21</v>
      </c>
      <c r="F22" s="4">
        <v>11384</v>
      </c>
      <c r="G22" s="24">
        <v>10926.99</v>
      </c>
      <c r="H22" s="5">
        <f>F22/G22</f>
        <v>1.0418239606698643</v>
      </c>
      <c r="I22" s="4">
        <v>3.7000000000000002E-3</v>
      </c>
      <c r="J22" s="4">
        <v>11384</v>
      </c>
      <c r="K22" s="24">
        <v>10926.99</v>
      </c>
      <c r="L22" s="5">
        <f>J22/K22</f>
        <v>1.0418239606698643</v>
      </c>
      <c r="M22" s="4">
        <v>3.7000000000000002E-3</v>
      </c>
      <c r="N22" s="4">
        <v>11384</v>
      </c>
      <c r="O22" s="4">
        <v>10907.52</v>
      </c>
      <c r="P22" s="5">
        <f>N22/O22</f>
        <v>1.043683623775157</v>
      </c>
      <c r="Q22" s="5">
        <v>4.0000000000000001E-3</v>
      </c>
    </row>
    <row r="23" spans="1:17" ht="15.75" x14ac:dyDescent="0.25">
      <c r="A23" s="13"/>
      <c r="B23" s="15"/>
      <c r="C23" s="16"/>
      <c r="D23" s="36" t="s">
        <v>13</v>
      </c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7"/>
    </row>
    <row r="24" spans="1:17" ht="15.75" x14ac:dyDescent="0.25">
      <c r="A24" s="11"/>
      <c r="B24" s="12"/>
      <c r="C24" s="17"/>
      <c r="D24" s="14"/>
      <c r="E24" s="8"/>
      <c r="F24" s="38" t="s">
        <v>15</v>
      </c>
      <c r="G24" s="39"/>
      <c r="H24" s="39"/>
      <c r="I24" s="40"/>
      <c r="J24" s="41" t="s">
        <v>16</v>
      </c>
      <c r="K24" s="36"/>
      <c r="L24" s="36"/>
      <c r="M24" s="37"/>
      <c r="N24" s="41" t="s">
        <v>17</v>
      </c>
      <c r="O24" s="36"/>
      <c r="P24" s="36"/>
      <c r="Q24" s="37"/>
    </row>
    <row r="25" spans="1:17" ht="15.75" x14ac:dyDescent="0.25">
      <c r="A25" s="11"/>
      <c r="B25" s="12"/>
      <c r="C25" s="17"/>
      <c r="D25" s="3" t="s">
        <v>3</v>
      </c>
      <c r="E25" s="9" t="s">
        <v>9</v>
      </c>
      <c r="F25" s="9" t="s">
        <v>7</v>
      </c>
      <c r="G25" s="9" t="s">
        <v>5</v>
      </c>
      <c r="H25" s="9" t="s">
        <v>14</v>
      </c>
      <c r="I25" s="9" t="s">
        <v>11</v>
      </c>
      <c r="J25" s="9" t="s">
        <v>7</v>
      </c>
      <c r="K25" s="9" t="s">
        <v>5</v>
      </c>
      <c r="L25" s="9" t="s">
        <v>14</v>
      </c>
      <c r="M25" s="9" t="s">
        <v>11</v>
      </c>
      <c r="N25" s="9" t="s">
        <v>7</v>
      </c>
      <c r="O25" s="9" t="s">
        <v>5</v>
      </c>
      <c r="P25" s="9" t="s">
        <v>14</v>
      </c>
      <c r="Q25" s="9" t="s">
        <v>11</v>
      </c>
    </row>
    <row r="26" spans="1:17" ht="15.75" x14ac:dyDescent="0.25">
      <c r="A26" s="11"/>
      <c r="B26" s="18"/>
      <c r="C26" s="19"/>
      <c r="D26" s="7" t="s">
        <v>4</v>
      </c>
      <c r="E26" s="10" t="s">
        <v>10</v>
      </c>
      <c r="F26" s="10" t="s">
        <v>14</v>
      </c>
      <c r="G26" s="10" t="s">
        <v>6</v>
      </c>
      <c r="H26" s="10" t="s">
        <v>8</v>
      </c>
      <c r="I26" s="10" t="s">
        <v>12</v>
      </c>
      <c r="J26" s="10" t="s">
        <v>14</v>
      </c>
      <c r="K26" s="10" t="s">
        <v>6</v>
      </c>
      <c r="L26" s="10" t="s">
        <v>8</v>
      </c>
      <c r="M26" s="10" t="s">
        <v>12</v>
      </c>
      <c r="N26" s="10" t="s">
        <v>14</v>
      </c>
      <c r="O26" s="10" t="s">
        <v>6</v>
      </c>
      <c r="P26" s="10" t="s">
        <v>8</v>
      </c>
      <c r="Q26" s="10" t="s">
        <v>12</v>
      </c>
    </row>
    <row r="27" spans="1:17" ht="15.75" x14ac:dyDescent="0.25">
      <c r="A27" s="35" t="s">
        <v>24</v>
      </c>
      <c r="B27" s="6" t="s">
        <v>0</v>
      </c>
      <c r="C27" s="7" t="s">
        <v>1</v>
      </c>
      <c r="D27" s="2" t="s">
        <v>21</v>
      </c>
      <c r="E27" s="4">
        <v>300460</v>
      </c>
      <c r="F27" s="4">
        <v>299930</v>
      </c>
      <c r="G27" s="4">
        <v>301020.59999999998</v>
      </c>
      <c r="H27" s="5">
        <f>F27/G27</f>
        <v>0.99637699213940845</v>
      </c>
      <c r="I27" s="5">
        <v>6.9000000000000006E-2</v>
      </c>
      <c r="J27" s="4">
        <v>300016</v>
      </c>
      <c r="K27" s="4">
        <v>301020.59999999998</v>
      </c>
      <c r="L27" s="5">
        <f>J27/K27</f>
        <v>0.99666268687259285</v>
      </c>
      <c r="M27" s="4">
        <v>0.1017</v>
      </c>
      <c r="N27" s="4">
        <v>299649</v>
      </c>
      <c r="O27" s="4">
        <v>301021.90999999997</v>
      </c>
      <c r="P27" s="5">
        <f>N27/O27</f>
        <v>0.99543916919535869</v>
      </c>
      <c r="Q27" s="5">
        <v>1.9900000000000001E-2</v>
      </c>
    </row>
    <row r="28" spans="1:17" ht="15.75" x14ac:dyDescent="0.25">
      <c r="A28" s="35"/>
      <c r="B28" s="18">
        <v>500</v>
      </c>
      <c r="C28" s="19">
        <v>30</v>
      </c>
      <c r="D28" s="36" t="s">
        <v>18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7"/>
    </row>
    <row r="29" spans="1:17" ht="15.75" x14ac:dyDescent="0.25">
      <c r="A29" s="11"/>
      <c r="B29" s="11"/>
      <c r="C29" s="21"/>
      <c r="D29" s="14"/>
      <c r="E29" s="8"/>
      <c r="F29" s="41" t="s">
        <v>15</v>
      </c>
      <c r="G29" s="36"/>
      <c r="H29" s="36"/>
      <c r="I29" s="37"/>
      <c r="J29" s="41" t="s">
        <v>16</v>
      </c>
      <c r="K29" s="36"/>
      <c r="L29" s="36"/>
      <c r="M29" s="37"/>
      <c r="N29" s="41" t="s">
        <v>17</v>
      </c>
      <c r="O29" s="36"/>
      <c r="P29" s="36"/>
      <c r="Q29" s="37"/>
    </row>
    <row r="30" spans="1:17" ht="15.75" x14ac:dyDescent="0.25">
      <c r="A30" s="11"/>
      <c r="B30" s="12"/>
      <c r="C30" s="17"/>
      <c r="D30" s="3" t="s">
        <v>3</v>
      </c>
      <c r="E30" s="9" t="s">
        <v>9</v>
      </c>
      <c r="F30" s="9" t="s">
        <v>7</v>
      </c>
      <c r="G30" s="9" t="s">
        <v>20</v>
      </c>
      <c r="H30" s="9" t="s">
        <v>14</v>
      </c>
      <c r="I30" s="9" t="s">
        <v>11</v>
      </c>
      <c r="J30" s="9" t="s">
        <v>7</v>
      </c>
      <c r="K30" s="9" t="s">
        <v>20</v>
      </c>
      <c r="L30" s="9" t="s">
        <v>14</v>
      </c>
      <c r="M30" s="9" t="s">
        <v>11</v>
      </c>
      <c r="N30" s="9" t="s">
        <v>7</v>
      </c>
      <c r="O30" s="9" t="s">
        <v>20</v>
      </c>
      <c r="P30" s="9" t="s">
        <v>14</v>
      </c>
      <c r="Q30" s="9" t="s">
        <v>11</v>
      </c>
    </row>
    <row r="31" spans="1:17" ht="15.75" x14ac:dyDescent="0.25">
      <c r="A31" s="11"/>
      <c r="B31" s="12"/>
      <c r="C31" s="17"/>
      <c r="D31" s="7" t="s">
        <v>19</v>
      </c>
      <c r="E31" s="10" t="s">
        <v>10</v>
      </c>
      <c r="F31" s="10" t="s">
        <v>14</v>
      </c>
      <c r="G31" s="10" t="s">
        <v>6</v>
      </c>
      <c r="H31" s="10" t="s">
        <v>8</v>
      </c>
      <c r="I31" s="10" t="s">
        <v>12</v>
      </c>
      <c r="J31" s="10" t="s">
        <v>14</v>
      </c>
      <c r="K31" s="10" t="s">
        <v>6</v>
      </c>
      <c r="L31" s="10" t="s">
        <v>8</v>
      </c>
      <c r="M31" s="10" t="s">
        <v>12</v>
      </c>
      <c r="N31" s="10" t="s">
        <v>14</v>
      </c>
      <c r="O31" s="10" t="s">
        <v>6</v>
      </c>
      <c r="P31" s="10" t="s">
        <v>8</v>
      </c>
      <c r="Q31" s="10" t="s">
        <v>12</v>
      </c>
    </row>
    <row r="32" spans="1:17" ht="15.75" x14ac:dyDescent="0.25">
      <c r="A32" s="20"/>
      <c r="B32" s="22"/>
      <c r="C32" s="23"/>
      <c r="D32" s="2" t="s">
        <v>21</v>
      </c>
      <c r="E32" s="4" t="s">
        <v>21</v>
      </c>
      <c r="F32" s="4">
        <v>259089</v>
      </c>
      <c r="G32" s="25">
        <v>257611.5</v>
      </c>
      <c r="H32" s="5">
        <f>F32/G32</f>
        <v>1.0057353806021858</v>
      </c>
      <c r="I32" s="4">
        <v>5.8700000000000002E-2</v>
      </c>
      <c r="J32" s="4">
        <v>259079</v>
      </c>
      <c r="K32" s="25">
        <v>257611.4</v>
      </c>
      <c r="L32" s="5">
        <f>J32/K32</f>
        <v>1.0056969528522419</v>
      </c>
      <c r="M32" s="4">
        <v>8.4400000000000003E-2</v>
      </c>
      <c r="N32" s="4">
        <v>259970</v>
      </c>
      <c r="O32" s="4">
        <v>257609.71</v>
      </c>
      <c r="P32" s="5">
        <f>N32/O32</f>
        <v>1.0091622710960702</v>
      </c>
      <c r="Q32" s="5">
        <v>4.0899999999999999E-2</v>
      </c>
    </row>
    <row r="33" spans="1:17" ht="15.75" x14ac:dyDescent="0.25">
      <c r="A33" s="13"/>
      <c r="B33" s="15"/>
      <c r="C33" s="16"/>
      <c r="D33" s="36" t="s">
        <v>13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7"/>
    </row>
    <row r="34" spans="1:17" ht="15.75" x14ac:dyDescent="0.25">
      <c r="A34" s="11"/>
      <c r="B34" s="12"/>
      <c r="C34" s="17"/>
      <c r="D34" s="14"/>
      <c r="E34" s="8"/>
      <c r="F34" s="38" t="s">
        <v>15</v>
      </c>
      <c r="G34" s="39"/>
      <c r="H34" s="39"/>
      <c r="I34" s="40"/>
      <c r="J34" s="41" t="s">
        <v>16</v>
      </c>
      <c r="K34" s="36"/>
      <c r="L34" s="36"/>
      <c r="M34" s="37"/>
      <c r="N34" s="41" t="s">
        <v>17</v>
      </c>
      <c r="O34" s="36"/>
      <c r="P34" s="36"/>
      <c r="Q34" s="37"/>
    </row>
    <row r="35" spans="1:17" ht="15.75" x14ac:dyDescent="0.25">
      <c r="A35" s="11"/>
      <c r="B35" s="12"/>
      <c r="C35" s="17"/>
      <c r="D35" s="3" t="s">
        <v>3</v>
      </c>
      <c r="E35" s="9" t="s">
        <v>9</v>
      </c>
      <c r="F35" s="9" t="s">
        <v>7</v>
      </c>
      <c r="G35" s="9" t="s">
        <v>5</v>
      </c>
      <c r="H35" s="9" t="s">
        <v>14</v>
      </c>
      <c r="I35" s="9" t="s">
        <v>11</v>
      </c>
      <c r="J35" s="9" t="s">
        <v>7</v>
      </c>
      <c r="K35" s="9" t="s">
        <v>5</v>
      </c>
      <c r="L35" s="9" t="s">
        <v>14</v>
      </c>
      <c r="M35" s="9" t="s">
        <v>11</v>
      </c>
      <c r="N35" s="9" t="s">
        <v>7</v>
      </c>
      <c r="O35" s="9" t="s">
        <v>5</v>
      </c>
      <c r="P35" s="9" t="s">
        <v>14</v>
      </c>
      <c r="Q35" s="9" t="s">
        <v>11</v>
      </c>
    </row>
    <row r="36" spans="1:17" ht="15.75" x14ac:dyDescent="0.25">
      <c r="A36" s="11"/>
      <c r="B36" s="18"/>
      <c r="C36" s="19"/>
      <c r="D36" s="7" t="s">
        <v>4</v>
      </c>
      <c r="E36" s="10" t="s">
        <v>10</v>
      </c>
      <c r="F36" s="10" t="s">
        <v>14</v>
      </c>
      <c r="G36" s="10" t="s">
        <v>6</v>
      </c>
      <c r="H36" s="10" t="s">
        <v>8</v>
      </c>
      <c r="I36" s="10" t="s">
        <v>12</v>
      </c>
      <c r="J36" s="10" t="s">
        <v>14</v>
      </c>
      <c r="K36" s="10" t="s">
        <v>6</v>
      </c>
      <c r="L36" s="10" t="s">
        <v>8</v>
      </c>
      <c r="M36" s="10" t="s">
        <v>12</v>
      </c>
      <c r="N36" s="10" t="s">
        <v>14</v>
      </c>
      <c r="O36" s="10" t="s">
        <v>6</v>
      </c>
      <c r="P36" s="10" t="s">
        <v>8</v>
      </c>
      <c r="Q36" s="10" t="s">
        <v>12</v>
      </c>
    </row>
    <row r="37" spans="1:17" ht="15.75" x14ac:dyDescent="0.25">
      <c r="A37" s="35" t="s">
        <v>25</v>
      </c>
      <c r="B37" s="6" t="s">
        <v>0</v>
      </c>
      <c r="C37" s="7" t="s">
        <v>1</v>
      </c>
      <c r="D37" s="2" t="s">
        <v>21</v>
      </c>
      <c r="E37" s="4" t="s">
        <v>21</v>
      </c>
      <c r="F37" s="4" t="s">
        <v>21</v>
      </c>
      <c r="G37" s="4" t="s">
        <v>21</v>
      </c>
      <c r="H37" s="5" t="s">
        <v>21</v>
      </c>
      <c r="I37" s="25" t="s">
        <v>21</v>
      </c>
      <c r="J37" s="4">
        <v>47193</v>
      </c>
      <c r="K37" s="4">
        <v>47240.26</v>
      </c>
      <c r="L37" s="5">
        <f>J37/K37</f>
        <v>0.99899958213608475</v>
      </c>
      <c r="M37" s="25">
        <v>3433.51</v>
      </c>
      <c r="N37" s="4">
        <v>47193</v>
      </c>
      <c r="O37" s="4">
        <v>47240.26</v>
      </c>
      <c r="P37" s="5">
        <f>N37/O37</f>
        <v>0.99899958213608475</v>
      </c>
      <c r="Q37" s="25">
        <v>392.2</v>
      </c>
    </row>
    <row r="38" spans="1:17" ht="15.75" x14ac:dyDescent="0.25">
      <c r="A38" s="35"/>
      <c r="B38" s="18">
        <v>50000</v>
      </c>
      <c r="C38" s="19">
        <v>300</v>
      </c>
      <c r="D38" s="36" t="s">
        <v>18</v>
      </c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7"/>
    </row>
    <row r="39" spans="1:17" ht="15.75" x14ac:dyDescent="0.25">
      <c r="A39" s="11"/>
      <c r="B39" s="11"/>
      <c r="C39" s="21"/>
      <c r="D39" s="14"/>
      <c r="E39" s="8"/>
      <c r="F39" s="41" t="s">
        <v>15</v>
      </c>
      <c r="G39" s="36"/>
      <c r="H39" s="36"/>
      <c r="I39" s="37"/>
      <c r="J39" s="41" t="s">
        <v>16</v>
      </c>
      <c r="K39" s="36"/>
      <c r="L39" s="36"/>
      <c r="M39" s="37"/>
      <c r="N39" s="41" t="s">
        <v>17</v>
      </c>
      <c r="O39" s="36"/>
      <c r="P39" s="36"/>
      <c r="Q39" s="37"/>
    </row>
    <row r="40" spans="1:17" ht="15.75" x14ac:dyDescent="0.25">
      <c r="A40" s="11"/>
      <c r="B40" s="12"/>
      <c r="C40" s="17"/>
      <c r="D40" s="3" t="s">
        <v>3</v>
      </c>
      <c r="E40" s="9" t="s">
        <v>9</v>
      </c>
      <c r="F40" s="9" t="s">
        <v>7</v>
      </c>
      <c r="G40" s="9" t="s">
        <v>20</v>
      </c>
      <c r="H40" s="9" t="s">
        <v>14</v>
      </c>
      <c r="I40" s="9" t="s">
        <v>11</v>
      </c>
      <c r="J40" s="9" t="s">
        <v>7</v>
      </c>
      <c r="K40" s="9" t="s">
        <v>20</v>
      </c>
      <c r="L40" s="9" t="s">
        <v>14</v>
      </c>
      <c r="M40" s="9" t="s">
        <v>11</v>
      </c>
      <c r="N40" s="9" t="s">
        <v>7</v>
      </c>
      <c r="O40" s="9" t="s">
        <v>20</v>
      </c>
      <c r="P40" s="9" t="s">
        <v>14</v>
      </c>
      <c r="Q40" s="9" t="s">
        <v>11</v>
      </c>
    </row>
    <row r="41" spans="1:17" ht="15.75" x14ac:dyDescent="0.25">
      <c r="A41" s="11"/>
      <c r="B41" s="12"/>
      <c r="C41" s="17"/>
      <c r="D41" s="7" t="s">
        <v>19</v>
      </c>
      <c r="E41" s="10" t="s">
        <v>10</v>
      </c>
      <c r="F41" s="10" t="s">
        <v>14</v>
      </c>
      <c r="G41" s="10" t="s">
        <v>6</v>
      </c>
      <c r="H41" s="10" t="s">
        <v>8</v>
      </c>
      <c r="I41" s="10" t="s">
        <v>12</v>
      </c>
      <c r="J41" s="10" t="s">
        <v>14</v>
      </c>
      <c r="K41" s="10" t="s">
        <v>6</v>
      </c>
      <c r="L41" s="10" t="s">
        <v>8</v>
      </c>
      <c r="M41" s="10" t="s">
        <v>12</v>
      </c>
      <c r="N41" s="10" t="s">
        <v>14</v>
      </c>
      <c r="O41" s="10" t="s">
        <v>6</v>
      </c>
      <c r="P41" s="10" t="s">
        <v>8</v>
      </c>
      <c r="Q41" s="10" t="s">
        <v>12</v>
      </c>
    </row>
    <row r="42" spans="1:17" ht="15.75" x14ac:dyDescent="0.25">
      <c r="A42" s="20"/>
      <c r="B42" s="22"/>
      <c r="C42" s="23"/>
      <c r="D42" s="2" t="s">
        <v>21</v>
      </c>
      <c r="E42" s="4" t="s">
        <v>21</v>
      </c>
      <c r="F42" s="4" t="s">
        <v>21</v>
      </c>
      <c r="G42" s="25" t="s">
        <v>21</v>
      </c>
      <c r="H42" s="5" t="s">
        <v>21</v>
      </c>
      <c r="I42" s="4" t="s">
        <v>21</v>
      </c>
      <c r="J42" s="4">
        <v>2363738</v>
      </c>
      <c r="K42" s="26">
        <v>2363669</v>
      </c>
      <c r="L42" s="5">
        <f>J42/K42</f>
        <v>1.0000291919046194</v>
      </c>
      <c r="M42" s="25">
        <v>3452.54</v>
      </c>
      <c r="N42" s="4">
        <v>2363740</v>
      </c>
      <c r="O42" s="4">
        <v>2363688.59</v>
      </c>
      <c r="P42" s="5">
        <f>N42/O42</f>
        <v>1.0000217499040347</v>
      </c>
      <c r="Q42" s="25">
        <v>391.75</v>
      </c>
    </row>
    <row r="43" spans="1:17" ht="15.75" x14ac:dyDescent="0.25">
      <c r="A43" s="13"/>
      <c r="B43" s="15"/>
      <c r="C43" s="16"/>
      <c r="D43" s="41" t="s">
        <v>28</v>
      </c>
      <c r="E43" s="36"/>
      <c r="F43" s="36"/>
      <c r="G43" s="36"/>
      <c r="H43" s="36"/>
      <c r="I43" s="36"/>
      <c r="J43" s="36"/>
      <c r="K43" s="36"/>
      <c r="L43" s="36"/>
      <c r="M43" s="37"/>
      <c r="N43" s="32"/>
      <c r="O43" s="32"/>
      <c r="P43" s="32"/>
      <c r="Q43" s="31"/>
    </row>
    <row r="44" spans="1:17" ht="15.75" x14ac:dyDescent="0.25">
      <c r="A44" s="11"/>
      <c r="B44" s="12"/>
      <c r="C44" s="17"/>
      <c r="D44" s="14"/>
      <c r="E44" s="8"/>
      <c r="F44" s="38" t="s">
        <v>15</v>
      </c>
      <c r="G44" s="39"/>
      <c r="H44" s="39"/>
      <c r="I44" s="40"/>
      <c r="J44" s="41" t="s">
        <v>16</v>
      </c>
      <c r="K44" s="36"/>
      <c r="L44" s="36"/>
      <c r="M44" s="37"/>
      <c r="N44" s="31"/>
      <c r="O44" s="31"/>
      <c r="P44" s="31"/>
      <c r="Q44" s="31"/>
    </row>
    <row r="45" spans="1:17" ht="15.75" x14ac:dyDescent="0.25">
      <c r="A45" s="11"/>
      <c r="B45" s="12"/>
      <c r="C45" s="17"/>
      <c r="D45" s="3" t="s">
        <v>3</v>
      </c>
      <c r="E45" s="9" t="s">
        <v>9</v>
      </c>
      <c r="F45" s="9" t="s">
        <v>7</v>
      </c>
      <c r="G45" s="9" t="s">
        <v>20</v>
      </c>
      <c r="H45" s="9" t="s">
        <v>14</v>
      </c>
      <c r="I45" s="9" t="s">
        <v>11</v>
      </c>
      <c r="J45" s="9" t="s">
        <v>7</v>
      </c>
      <c r="K45" s="9" t="s">
        <v>20</v>
      </c>
      <c r="L45" s="9" t="s">
        <v>14</v>
      </c>
      <c r="M45" s="9" t="s">
        <v>11</v>
      </c>
      <c r="N45" s="27"/>
      <c r="O45" s="27"/>
      <c r="P45" s="27"/>
      <c r="Q45" s="27"/>
    </row>
    <row r="46" spans="1:17" ht="15.75" x14ac:dyDescent="0.25">
      <c r="A46" s="11"/>
      <c r="B46" s="18"/>
      <c r="C46" s="19"/>
      <c r="D46" s="7" t="s">
        <v>19</v>
      </c>
      <c r="E46" s="10" t="s">
        <v>10</v>
      </c>
      <c r="F46" s="10" t="s">
        <v>14</v>
      </c>
      <c r="G46" s="10" t="s">
        <v>6</v>
      </c>
      <c r="H46" s="10" t="s">
        <v>8</v>
      </c>
      <c r="I46" s="10" t="s">
        <v>12</v>
      </c>
      <c r="J46" s="10" t="s">
        <v>14</v>
      </c>
      <c r="K46" s="10" t="s">
        <v>6</v>
      </c>
      <c r="L46" s="10" t="s">
        <v>8</v>
      </c>
      <c r="M46" s="10" t="s">
        <v>12</v>
      </c>
      <c r="N46" s="27"/>
      <c r="O46" s="27"/>
      <c r="P46" s="27"/>
      <c r="Q46" s="27"/>
    </row>
    <row r="47" spans="1:17" ht="15.75" x14ac:dyDescent="0.25">
      <c r="A47" s="35" t="s">
        <v>27</v>
      </c>
      <c r="B47" s="6" t="s">
        <v>0</v>
      </c>
      <c r="C47" s="7" t="s">
        <v>1</v>
      </c>
      <c r="D47" s="2">
        <v>20</v>
      </c>
      <c r="E47" s="4" t="s">
        <v>21</v>
      </c>
      <c r="F47" s="4">
        <v>22</v>
      </c>
      <c r="G47" s="4">
        <v>18</v>
      </c>
      <c r="H47" s="5">
        <f>F47/G47</f>
        <v>1.2222222222222223</v>
      </c>
      <c r="I47" s="5">
        <v>2.5999999999999999E-3</v>
      </c>
      <c r="J47" s="4">
        <v>22</v>
      </c>
      <c r="K47" s="4">
        <v>18</v>
      </c>
      <c r="L47" s="5">
        <f>J47/K47</f>
        <v>1.2222222222222223</v>
      </c>
      <c r="M47" s="5">
        <v>4.0000000000000001E-3</v>
      </c>
      <c r="N47" s="27"/>
      <c r="O47" s="27"/>
      <c r="P47" s="29"/>
      <c r="Q47" s="28"/>
    </row>
    <row r="48" spans="1:17" ht="15.75" x14ac:dyDescent="0.25">
      <c r="A48" s="35"/>
      <c r="B48" s="18">
        <v>9</v>
      </c>
      <c r="C48" s="19">
        <v>5</v>
      </c>
      <c r="D48" s="41" t="s">
        <v>29</v>
      </c>
      <c r="E48" s="36"/>
      <c r="F48" s="36"/>
      <c r="G48" s="36"/>
      <c r="H48" s="36"/>
      <c r="I48" s="36"/>
      <c r="J48" s="36"/>
      <c r="K48" s="36"/>
      <c r="L48" s="36"/>
      <c r="M48" s="37"/>
      <c r="N48" s="31"/>
      <c r="O48" s="31"/>
      <c r="P48" s="31"/>
      <c r="Q48" s="31"/>
    </row>
    <row r="49" spans="1:17" ht="15.75" x14ac:dyDescent="0.25">
      <c r="A49" s="11"/>
      <c r="B49" s="11"/>
      <c r="C49" s="21"/>
      <c r="D49" s="14"/>
      <c r="E49" s="8"/>
      <c r="F49" s="41" t="s">
        <v>15</v>
      </c>
      <c r="G49" s="36"/>
      <c r="H49" s="36"/>
      <c r="I49" s="37"/>
      <c r="J49" s="41" t="s">
        <v>16</v>
      </c>
      <c r="K49" s="36"/>
      <c r="L49" s="36"/>
      <c r="M49" s="37"/>
      <c r="N49" s="31"/>
      <c r="O49" s="31"/>
      <c r="P49" s="31"/>
      <c r="Q49" s="31"/>
    </row>
    <row r="50" spans="1:17" ht="15.75" x14ac:dyDescent="0.25">
      <c r="A50" s="11"/>
      <c r="B50" s="12"/>
      <c r="C50" s="17"/>
      <c r="D50" s="3" t="s">
        <v>3</v>
      </c>
      <c r="E50" s="9" t="s">
        <v>9</v>
      </c>
      <c r="F50" s="9" t="s">
        <v>7</v>
      </c>
      <c r="G50" s="9" t="s">
        <v>5</v>
      </c>
      <c r="H50" s="9" t="s">
        <v>14</v>
      </c>
      <c r="I50" s="9" t="s">
        <v>11</v>
      </c>
      <c r="J50" s="9" t="s">
        <v>7</v>
      </c>
      <c r="K50" s="9" t="s">
        <v>5</v>
      </c>
      <c r="L50" s="9" t="s">
        <v>14</v>
      </c>
      <c r="M50" s="9" t="s">
        <v>11</v>
      </c>
      <c r="N50" s="27"/>
      <c r="O50" s="27"/>
      <c r="P50" s="27"/>
      <c r="Q50" s="27"/>
    </row>
    <row r="51" spans="1:17" ht="15.75" x14ac:dyDescent="0.25">
      <c r="A51" s="11"/>
      <c r="B51" s="12"/>
      <c r="C51" s="17"/>
      <c r="D51" s="7" t="s">
        <v>4</v>
      </c>
      <c r="E51" s="10" t="s">
        <v>10</v>
      </c>
      <c r="F51" s="10" t="s">
        <v>14</v>
      </c>
      <c r="G51" s="10" t="s">
        <v>6</v>
      </c>
      <c r="H51" s="10" t="s">
        <v>8</v>
      </c>
      <c r="I51" s="10" t="s">
        <v>12</v>
      </c>
      <c r="J51" s="10" t="s">
        <v>14</v>
      </c>
      <c r="K51" s="10" t="s">
        <v>6</v>
      </c>
      <c r="L51" s="10" t="s">
        <v>8</v>
      </c>
      <c r="M51" s="10" t="s">
        <v>12</v>
      </c>
      <c r="N51" s="27"/>
      <c r="O51" s="27"/>
      <c r="P51" s="27"/>
      <c r="Q51" s="27"/>
    </row>
    <row r="52" spans="1:17" ht="15.75" x14ac:dyDescent="0.25">
      <c r="A52" s="20"/>
      <c r="B52" s="22"/>
      <c r="C52" s="23"/>
      <c r="D52" s="2">
        <v>23</v>
      </c>
      <c r="E52" s="4" t="s">
        <v>21</v>
      </c>
      <c r="F52" s="4">
        <v>23</v>
      </c>
      <c r="G52" s="26">
        <v>23</v>
      </c>
      <c r="H52" s="5">
        <f>F52/G52</f>
        <v>1</v>
      </c>
      <c r="I52" s="4">
        <v>2.5999999999999999E-3</v>
      </c>
      <c r="J52" s="4">
        <v>23</v>
      </c>
      <c r="K52" s="26">
        <v>23</v>
      </c>
      <c r="L52" s="5">
        <f>J52/K52</f>
        <v>1</v>
      </c>
      <c r="M52" s="5">
        <v>2.0999999999999999E-3</v>
      </c>
      <c r="N52" s="27"/>
      <c r="O52" s="27"/>
      <c r="P52" s="29"/>
      <c r="Q52" s="28"/>
    </row>
    <row r="53" spans="1:17" ht="15.75" x14ac:dyDescent="0.25">
      <c r="A53" s="13"/>
      <c r="B53" s="15"/>
      <c r="C53" s="16"/>
      <c r="D53" s="41" t="s">
        <v>28</v>
      </c>
      <c r="E53" s="36"/>
      <c r="F53" s="36"/>
      <c r="G53" s="36"/>
      <c r="H53" s="36"/>
      <c r="I53" s="36"/>
      <c r="J53" s="36"/>
      <c r="K53" s="36"/>
      <c r="L53" s="36"/>
      <c r="M53" s="37"/>
      <c r="N53" s="27"/>
      <c r="O53" s="27"/>
      <c r="P53" s="29"/>
      <c r="Q53" s="28"/>
    </row>
    <row r="54" spans="1:17" ht="15.75" x14ac:dyDescent="0.25">
      <c r="A54" s="11"/>
      <c r="B54" s="12"/>
      <c r="C54" s="17"/>
      <c r="D54" s="14"/>
      <c r="E54" s="8"/>
      <c r="F54" s="38" t="s">
        <v>15</v>
      </c>
      <c r="G54" s="39"/>
      <c r="H54" s="39"/>
      <c r="I54" s="40"/>
      <c r="J54" s="41" t="s">
        <v>16</v>
      </c>
      <c r="K54" s="36"/>
      <c r="L54" s="36"/>
      <c r="M54" s="37"/>
      <c r="N54" s="27"/>
      <c r="O54" s="27"/>
      <c r="P54" s="29"/>
      <c r="Q54" s="28"/>
    </row>
    <row r="55" spans="1:17" ht="15.75" x14ac:dyDescent="0.25">
      <c r="A55" s="11"/>
      <c r="B55" s="12"/>
      <c r="C55" s="17"/>
      <c r="D55" s="3" t="s">
        <v>3</v>
      </c>
      <c r="E55" s="9" t="s">
        <v>9</v>
      </c>
      <c r="F55" s="9" t="s">
        <v>7</v>
      </c>
      <c r="G55" s="9" t="s">
        <v>20</v>
      </c>
      <c r="H55" s="9" t="s">
        <v>14</v>
      </c>
      <c r="I55" s="9" t="s">
        <v>11</v>
      </c>
      <c r="J55" s="9" t="s">
        <v>7</v>
      </c>
      <c r="K55" s="9" t="s">
        <v>20</v>
      </c>
      <c r="L55" s="9" t="s">
        <v>14</v>
      </c>
      <c r="M55" s="9" t="s">
        <v>11</v>
      </c>
      <c r="N55" s="27"/>
      <c r="O55" s="27"/>
      <c r="P55" s="29"/>
      <c r="Q55" s="28"/>
    </row>
    <row r="56" spans="1:17" ht="15.75" x14ac:dyDescent="0.25">
      <c r="A56" s="11"/>
      <c r="B56" s="18"/>
      <c r="C56" s="19"/>
      <c r="D56" s="7" t="s">
        <v>19</v>
      </c>
      <c r="E56" s="10" t="s">
        <v>10</v>
      </c>
      <c r="F56" s="10" t="s">
        <v>14</v>
      </c>
      <c r="G56" s="10" t="s">
        <v>6</v>
      </c>
      <c r="H56" s="10" t="s">
        <v>8</v>
      </c>
      <c r="I56" s="10" t="s">
        <v>12</v>
      </c>
      <c r="J56" s="10" t="s">
        <v>14</v>
      </c>
      <c r="K56" s="10" t="s">
        <v>6</v>
      </c>
      <c r="L56" s="10" t="s">
        <v>8</v>
      </c>
      <c r="M56" s="10" t="s">
        <v>12</v>
      </c>
      <c r="N56" s="27"/>
      <c r="O56" s="27"/>
      <c r="P56" s="29"/>
      <c r="Q56" s="28"/>
    </row>
    <row r="57" spans="1:17" ht="15.75" x14ac:dyDescent="0.25">
      <c r="A57" s="35" t="s">
        <v>30</v>
      </c>
      <c r="B57" s="6" t="s">
        <v>0</v>
      </c>
      <c r="C57" s="7" t="s">
        <v>1</v>
      </c>
      <c r="D57" s="2">
        <v>5</v>
      </c>
      <c r="E57" s="4">
        <v>5</v>
      </c>
      <c r="F57" s="4">
        <v>6</v>
      </c>
      <c r="G57" s="4">
        <v>3.3908</v>
      </c>
      <c r="H57" s="5">
        <f>F57/G57</f>
        <v>1.769493924737525</v>
      </c>
      <c r="I57" s="5">
        <v>6.0900000000000003E-2</v>
      </c>
      <c r="J57" s="4">
        <v>7</v>
      </c>
      <c r="K57" s="4">
        <v>3.3831000000000002</v>
      </c>
      <c r="L57" s="5">
        <f>J57/K57</f>
        <v>2.0691082143596109</v>
      </c>
      <c r="M57" s="5">
        <v>0.3075</v>
      </c>
      <c r="N57" s="27"/>
      <c r="O57" s="27"/>
      <c r="P57" s="29"/>
      <c r="Q57" s="28"/>
    </row>
    <row r="58" spans="1:17" ht="15.75" x14ac:dyDescent="0.25">
      <c r="A58" s="35"/>
      <c r="B58" s="18">
        <v>500</v>
      </c>
      <c r="C58" s="19">
        <v>50</v>
      </c>
      <c r="D58" s="41" t="s">
        <v>29</v>
      </c>
      <c r="E58" s="36"/>
      <c r="F58" s="36"/>
      <c r="G58" s="36"/>
      <c r="H58" s="36"/>
      <c r="I58" s="36"/>
      <c r="J58" s="36"/>
      <c r="K58" s="36"/>
      <c r="L58" s="36"/>
      <c r="M58" s="37"/>
      <c r="N58" s="27"/>
      <c r="O58" s="27"/>
      <c r="P58" s="29"/>
      <c r="Q58" s="28"/>
    </row>
    <row r="59" spans="1:17" ht="15.75" x14ac:dyDescent="0.25">
      <c r="A59" s="11"/>
      <c r="B59" s="11"/>
      <c r="C59" s="21"/>
      <c r="D59" s="14"/>
      <c r="E59" s="8"/>
      <c r="F59" s="41" t="s">
        <v>15</v>
      </c>
      <c r="G59" s="36"/>
      <c r="H59" s="36"/>
      <c r="I59" s="37"/>
      <c r="J59" s="41" t="s">
        <v>16</v>
      </c>
      <c r="K59" s="36"/>
      <c r="L59" s="36"/>
      <c r="M59" s="37"/>
      <c r="N59" s="27"/>
      <c r="O59" s="27"/>
      <c r="P59" s="29"/>
      <c r="Q59" s="28"/>
    </row>
    <row r="60" spans="1:17" ht="15.75" x14ac:dyDescent="0.25">
      <c r="A60" s="11"/>
      <c r="B60" s="12"/>
      <c r="C60" s="17"/>
      <c r="D60" s="3" t="s">
        <v>3</v>
      </c>
      <c r="E60" s="9" t="s">
        <v>9</v>
      </c>
      <c r="F60" s="9" t="s">
        <v>7</v>
      </c>
      <c r="G60" s="9" t="s">
        <v>5</v>
      </c>
      <c r="H60" s="9" t="s">
        <v>14</v>
      </c>
      <c r="I60" s="9" t="s">
        <v>11</v>
      </c>
      <c r="J60" s="9" t="s">
        <v>7</v>
      </c>
      <c r="K60" s="9" t="s">
        <v>5</v>
      </c>
      <c r="L60" s="9" t="s">
        <v>14</v>
      </c>
      <c r="M60" s="9" t="s">
        <v>11</v>
      </c>
      <c r="N60" s="27"/>
      <c r="O60" s="27"/>
      <c r="P60" s="29"/>
      <c r="Q60" s="28"/>
    </row>
    <row r="61" spans="1:17" ht="15.75" x14ac:dyDescent="0.25">
      <c r="A61" s="11"/>
      <c r="B61" s="12"/>
      <c r="C61" s="17"/>
      <c r="D61" s="7" t="s">
        <v>4</v>
      </c>
      <c r="E61" s="10" t="s">
        <v>10</v>
      </c>
      <c r="F61" s="10" t="s">
        <v>14</v>
      </c>
      <c r="G61" s="10" t="s">
        <v>6</v>
      </c>
      <c r="H61" s="10" t="s">
        <v>8</v>
      </c>
      <c r="I61" s="10" t="s">
        <v>12</v>
      </c>
      <c r="J61" s="10" t="s">
        <v>14</v>
      </c>
      <c r="K61" s="10" t="s">
        <v>6</v>
      </c>
      <c r="L61" s="10" t="s">
        <v>8</v>
      </c>
      <c r="M61" s="10" t="s">
        <v>12</v>
      </c>
      <c r="N61" s="27"/>
      <c r="O61" s="27"/>
      <c r="P61" s="29"/>
      <c r="Q61" s="28"/>
    </row>
    <row r="62" spans="1:17" ht="15.75" x14ac:dyDescent="0.25">
      <c r="A62" s="20"/>
      <c r="B62" s="22"/>
      <c r="C62" s="23"/>
      <c r="D62" s="2">
        <v>6</v>
      </c>
      <c r="E62" s="4" t="s">
        <v>21</v>
      </c>
      <c r="F62" s="4">
        <v>6</v>
      </c>
      <c r="G62" s="5">
        <v>8.3658999999999999</v>
      </c>
      <c r="H62" s="5">
        <f>F62/G62</f>
        <v>0.71719719336831667</v>
      </c>
      <c r="I62" s="4">
        <v>4.58E-2</v>
      </c>
      <c r="J62" s="4">
        <v>6</v>
      </c>
      <c r="K62" s="5">
        <v>8.3680000000000003</v>
      </c>
      <c r="L62" s="5">
        <f>J62/K62</f>
        <v>0.71701720841300187</v>
      </c>
      <c r="M62" s="5">
        <v>0.59809999999999997</v>
      </c>
      <c r="N62" s="27"/>
      <c r="O62" s="27"/>
      <c r="P62" s="29"/>
      <c r="Q62" s="28"/>
    </row>
    <row r="63" spans="1:17" ht="15.75" x14ac:dyDescent="0.25">
      <c r="A63" s="13"/>
      <c r="B63" s="15"/>
      <c r="C63" s="16"/>
      <c r="D63" s="41" t="s">
        <v>28</v>
      </c>
      <c r="E63" s="36"/>
      <c r="F63" s="36"/>
      <c r="G63" s="36"/>
      <c r="H63" s="36"/>
      <c r="I63" s="36"/>
      <c r="J63" s="36"/>
      <c r="K63" s="36"/>
      <c r="L63" s="36"/>
      <c r="M63" s="37"/>
      <c r="N63" s="27"/>
      <c r="O63" s="27"/>
      <c r="P63" s="29"/>
      <c r="Q63" s="28"/>
    </row>
    <row r="64" spans="1:17" ht="15.75" x14ac:dyDescent="0.25">
      <c r="A64" s="11"/>
      <c r="B64" s="12"/>
      <c r="C64" s="17"/>
      <c r="D64" s="14"/>
      <c r="E64" s="8"/>
      <c r="F64" s="38" t="s">
        <v>15</v>
      </c>
      <c r="G64" s="39"/>
      <c r="H64" s="39"/>
      <c r="I64" s="40"/>
      <c r="J64" s="41" t="s">
        <v>16</v>
      </c>
      <c r="K64" s="36"/>
      <c r="L64" s="36"/>
      <c r="M64" s="37"/>
      <c r="N64" s="27"/>
      <c r="O64" s="27"/>
      <c r="P64" s="29"/>
      <c r="Q64" s="28"/>
    </row>
    <row r="65" spans="1:17" ht="15.75" x14ac:dyDescent="0.25">
      <c r="A65" s="11"/>
      <c r="B65" s="12"/>
      <c r="C65" s="17"/>
      <c r="D65" s="3" t="s">
        <v>3</v>
      </c>
      <c r="E65" s="9" t="s">
        <v>9</v>
      </c>
      <c r="F65" s="9" t="s">
        <v>7</v>
      </c>
      <c r="G65" s="9" t="s">
        <v>20</v>
      </c>
      <c r="H65" s="9" t="s">
        <v>14</v>
      </c>
      <c r="I65" s="9" t="s">
        <v>11</v>
      </c>
      <c r="J65" s="9" t="s">
        <v>7</v>
      </c>
      <c r="K65" s="9" t="s">
        <v>20</v>
      </c>
      <c r="L65" s="9" t="s">
        <v>14</v>
      </c>
      <c r="M65" s="9" t="s">
        <v>11</v>
      </c>
      <c r="N65" s="27"/>
      <c r="O65" s="27"/>
      <c r="P65" s="29"/>
      <c r="Q65" s="28"/>
    </row>
    <row r="66" spans="1:17" ht="15.75" x14ac:dyDescent="0.25">
      <c r="A66" s="11"/>
      <c r="B66" s="18"/>
      <c r="C66" s="19"/>
      <c r="D66" s="7" t="s">
        <v>19</v>
      </c>
      <c r="E66" s="10" t="s">
        <v>10</v>
      </c>
      <c r="F66" s="10" t="s">
        <v>14</v>
      </c>
      <c r="G66" s="10" t="s">
        <v>6</v>
      </c>
      <c r="H66" s="10" t="s">
        <v>8</v>
      </c>
      <c r="I66" s="10" t="s">
        <v>12</v>
      </c>
      <c r="J66" s="10" t="s">
        <v>14</v>
      </c>
      <c r="K66" s="10" t="s">
        <v>6</v>
      </c>
      <c r="L66" s="10" t="s">
        <v>8</v>
      </c>
      <c r="M66" s="10" t="s">
        <v>12</v>
      </c>
      <c r="N66" s="27"/>
      <c r="O66" s="27"/>
      <c r="P66" s="29"/>
      <c r="Q66" s="28"/>
    </row>
    <row r="67" spans="1:17" ht="15.75" x14ac:dyDescent="0.25">
      <c r="A67" s="35" t="s">
        <v>31</v>
      </c>
      <c r="B67" s="6" t="s">
        <v>0</v>
      </c>
      <c r="C67" s="7" t="s">
        <v>1</v>
      </c>
      <c r="D67" s="2">
        <v>236</v>
      </c>
      <c r="E67" s="4">
        <v>240</v>
      </c>
      <c r="F67" s="4">
        <v>246</v>
      </c>
      <c r="G67" s="4">
        <v>234.88890000000001</v>
      </c>
      <c r="H67" s="5">
        <f>F67/G67</f>
        <v>1.0473036401464693</v>
      </c>
      <c r="I67" s="33">
        <v>3.57</v>
      </c>
      <c r="J67" s="4">
        <v>263</v>
      </c>
      <c r="K67" s="4">
        <v>226.9616</v>
      </c>
      <c r="L67" s="5">
        <f>J67/K67</f>
        <v>1.1587863321372425</v>
      </c>
      <c r="M67" s="33">
        <v>8.4585000000000008</v>
      </c>
      <c r="N67" s="27"/>
      <c r="O67" s="27"/>
      <c r="P67" s="29"/>
      <c r="Q67" s="28"/>
    </row>
    <row r="68" spans="1:17" ht="15.75" x14ac:dyDescent="0.25">
      <c r="A68" s="35"/>
      <c r="B68" s="18">
        <v>3000</v>
      </c>
      <c r="C68" s="19">
        <v>300</v>
      </c>
      <c r="D68" s="41" t="s">
        <v>29</v>
      </c>
      <c r="E68" s="36"/>
      <c r="F68" s="36"/>
      <c r="G68" s="36"/>
      <c r="H68" s="36"/>
      <c r="I68" s="36"/>
      <c r="J68" s="36"/>
      <c r="K68" s="36"/>
      <c r="L68" s="36"/>
      <c r="M68" s="37"/>
      <c r="N68" s="27"/>
      <c r="O68" s="27"/>
      <c r="P68" s="29"/>
      <c r="Q68" s="28"/>
    </row>
    <row r="69" spans="1:17" ht="15.75" x14ac:dyDescent="0.25">
      <c r="A69" s="11"/>
      <c r="B69" s="11"/>
      <c r="C69" s="21"/>
      <c r="D69" s="14"/>
      <c r="E69" s="8"/>
      <c r="F69" s="41" t="s">
        <v>15</v>
      </c>
      <c r="G69" s="36"/>
      <c r="H69" s="36"/>
      <c r="I69" s="37"/>
      <c r="J69" s="41" t="s">
        <v>16</v>
      </c>
      <c r="K69" s="36"/>
      <c r="L69" s="36"/>
      <c r="M69" s="37"/>
      <c r="N69" s="27"/>
      <c r="O69" s="27"/>
      <c r="P69" s="29"/>
      <c r="Q69" s="28"/>
    </row>
    <row r="70" spans="1:17" ht="15.75" x14ac:dyDescent="0.25">
      <c r="A70" s="11"/>
      <c r="B70" s="12"/>
      <c r="C70" s="17"/>
      <c r="D70" s="3" t="s">
        <v>3</v>
      </c>
      <c r="E70" s="9" t="s">
        <v>9</v>
      </c>
      <c r="F70" s="9" t="s">
        <v>7</v>
      </c>
      <c r="G70" s="9" t="s">
        <v>5</v>
      </c>
      <c r="H70" s="9" t="s">
        <v>14</v>
      </c>
      <c r="I70" s="9" t="s">
        <v>11</v>
      </c>
      <c r="J70" s="9" t="s">
        <v>7</v>
      </c>
      <c r="K70" s="9" t="s">
        <v>5</v>
      </c>
      <c r="L70" s="9" t="s">
        <v>14</v>
      </c>
      <c r="M70" s="9" t="s">
        <v>11</v>
      </c>
      <c r="N70" s="27"/>
      <c r="O70" s="27"/>
      <c r="P70" s="29"/>
      <c r="Q70" s="28"/>
    </row>
    <row r="71" spans="1:17" ht="15.75" x14ac:dyDescent="0.25">
      <c r="A71" s="11"/>
      <c r="B71" s="12"/>
      <c r="C71" s="17"/>
      <c r="D71" s="7" t="s">
        <v>4</v>
      </c>
      <c r="E71" s="10" t="s">
        <v>10</v>
      </c>
      <c r="F71" s="10" t="s">
        <v>14</v>
      </c>
      <c r="G71" s="10" t="s">
        <v>6</v>
      </c>
      <c r="H71" s="10" t="s">
        <v>8</v>
      </c>
      <c r="I71" s="10" t="s">
        <v>12</v>
      </c>
      <c r="J71" s="10" t="s">
        <v>14</v>
      </c>
      <c r="K71" s="10" t="s">
        <v>6</v>
      </c>
      <c r="L71" s="10" t="s">
        <v>8</v>
      </c>
      <c r="M71" s="10" t="s">
        <v>12</v>
      </c>
      <c r="N71" s="27"/>
      <c r="O71" s="27"/>
      <c r="P71" s="29"/>
      <c r="Q71" s="28"/>
    </row>
    <row r="72" spans="1:17" ht="15.75" x14ac:dyDescent="0.25">
      <c r="A72" s="20"/>
      <c r="B72" s="22"/>
      <c r="C72" s="23"/>
      <c r="D72" s="2" t="s">
        <v>21</v>
      </c>
      <c r="E72" s="4" t="s">
        <v>21</v>
      </c>
      <c r="F72" s="4">
        <v>7767</v>
      </c>
      <c r="G72" s="25">
        <v>8313.7000000000007</v>
      </c>
      <c r="H72" s="5">
        <f>F72/G72</f>
        <v>0.93424107196555073</v>
      </c>
      <c r="I72" s="33">
        <v>3.4177</v>
      </c>
      <c r="J72" s="4">
        <v>7620</v>
      </c>
      <c r="K72" s="25">
        <v>8386.3439999999991</v>
      </c>
      <c r="L72" s="5">
        <f>J72/K72</f>
        <v>0.90862001367938172</v>
      </c>
      <c r="M72" s="33">
        <v>31.7925</v>
      </c>
      <c r="N72" s="27"/>
      <c r="O72" s="27"/>
      <c r="P72" s="29"/>
      <c r="Q72" s="28"/>
    </row>
    <row r="73" spans="1:17" ht="15.75" x14ac:dyDescent="0.25">
      <c r="A73" s="13"/>
      <c r="B73" s="15"/>
      <c r="C73" s="16"/>
      <c r="D73" s="41" t="s">
        <v>28</v>
      </c>
      <c r="E73" s="36"/>
      <c r="F73" s="36"/>
      <c r="G73" s="36"/>
      <c r="H73" s="36"/>
      <c r="I73" s="36"/>
      <c r="J73" s="36"/>
      <c r="K73" s="36"/>
      <c r="L73" s="36"/>
      <c r="M73" s="37"/>
      <c r="N73" s="27"/>
      <c r="O73" s="27"/>
      <c r="P73" s="29"/>
      <c r="Q73" s="28"/>
    </row>
    <row r="74" spans="1:17" ht="15.75" x14ac:dyDescent="0.25">
      <c r="A74" s="11"/>
      <c r="B74" s="12"/>
      <c r="C74" s="17"/>
      <c r="D74" s="14"/>
      <c r="E74" s="8"/>
      <c r="F74" s="38" t="s">
        <v>15</v>
      </c>
      <c r="G74" s="39"/>
      <c r="H74" s="39"/>
      <c r="I74" s="40"/>
      <c r="J74" s="41" t="s">
        <v>16</v>
      </c>
      <c r="K74" s="36"/>
      <c r="L74" s="36"/>
      <c r="M74" s="37"/>
      <c r="N74" s="27"/>
      <c r="O74" s="27"/>
      <c r="P74" s="29"/>
      <c r="Q74" s="28"/>
    </row>
    <row r="75" spans="1:17" ht="15.75" x14ac:dyDescent="0.25">
      <c r="A75" s="11"/>
      <c r="B75" s="12"/>
      <c r="C75" s="17"/>
      <c r="D75" s="3" t="s">
        <v>3</v>
      </c>
      <c r="E75" s="9" t="s">
        <v>9</v>
      </c>
      <c r="F75" s="9" t="s">
        <v>7</v>
      </c>
      <c r="G75" s="9" t="s">
        <v>20</v>
      </c>
      <c r="H75" s="9" t="s">
        <v>14</v>
      </c>
      <c r="I75" s="9" t="s">
        <v>11</v>
      </c>
      <c r="J75" s="9" t="s">
        <v>7</v>
      </c>
      <c r="K75" s="9" t="s">
        <v>20</v>
      </c>
      <c r="L75" s="9" t="s">
        <v>14</v>
      </c>
      <c r="M75" s="9" t="s">
        <v>11</v>
      </c>
      <c r="N75" s="27"/>
      <c r="O75" s="27"/>
      <c r="P75" s="29"/>
      <c r="Q75" s="28"/>
    </row>
    <row r="76" spans="1:17" ht="15.75" x14ac:dyDescent="0.25">
      <c r="A76" s="11"/>
      <c r="B76" s="18"/>
      <c r="C76" s="19"/>
      <c r="D76" s="7" t="s">
        <v>19</v>
      </c>
      <c r="E76" s="10" t="s">
        <v>10</v>
      </c>
      <c r="F76" s="10" t="s">
        <v>14</v>
      </c>
      <c r="G76" s="10" t="s">
        <v>6</v>
      </c>
      <c r="H76" s="10" t="s">
        <v>8</v>
      </c>
      <c r="I76" s="10" t="s">
        <v>12</v>
      </c>
      <c r="J76" s="10" t="s">
        <v>14</v>
      </c>
      <c r="K76" s="10" t="s">
        <v>6</v>
      </c>
      <c r="L76" s="10" t="s">
        <v>8</v>
      </c>
      <c r="M76" s="10" t="s">
        <v>12</v>
      </c>
      <c r="N76" s="27"/>
      <c r="O76" s="27"/>
      <c r="P76" s="29"/>
      <c r="Q76" s="28"/>
    </row>
    <row r="77" spans="1:17" ht="15.75" x14ac:dyDescent="0.25">
      <c r="A77" s="35" t="s">
        <v>32</v>
      </c>
      <c r="B77" s="6" t="s">
        <v>0</v>
      </c>
      <c r="C77" s="7" t="s">
        <v>1</v>
      </c>
      <c r="D77" s="2" t="s">
        <v>21</v>
      </c>
      <c r="E77" s="4">
        <v>28</v>
      </c>
      <c r="F77" s="4">
        <v>31</v>
      </c>
      <c r="G77" s="4">
        <v>21.321899999999999</v>
      </c>
      <c r="H77" s="5">
        <f>F77/G77</f>
        <v>1.4539042017831432</v>
      </c>
      <c r="I77" s="33">
        <v>26.852599999999999</v>
      </c>
      <c r="J77" s="4">
        <v>30</v>
      </c>
      <c r="K77" s="4">
        <v>14.6637</v>
      </c>
      <c r="L77" s="5">
        <f>J77/K77</f>
        <v>2.0458683688291495</v>
      </c>
      <c r="M77" s="33">
        <v>38.0047</v>
      </c>
      <c r="N77" s="27"/>
      <c r="O77" s="27"/>
      <c r="P77" s="29"/>
      <c r="Q77" s="28"/>
    </row>
    <row r="78" spans="1:17" ht="15.75" x14ac:dyDescent="0.25">
      <c r="A78" s="35"/>
      <c r="B78" s="18">
        <v>5000</v>
      </c>
      <c r="C78" s="19">
        <v>500</v>
      </c>
      <c r="D78" s="41" t="s">
        <v>29</v>
      </c>
      <c r="E78" s="36"/>
      <c r="F78" s="36"/>
      <c r="G78" s="36"/>
      <c r="H78" s="36"/>
      <c r="I78" s="36"/>
      <c r="J78" s="36"/>
      <c r="K78" s="36"/>
      <c r="L78" s="36"/>
      <c r="M78" s="37"/>
      <c r="N78" s="27"/>
      <c r="O78" s="27"/>
      <c r="P78" s="29"/>
      <c r="Q78" s="28"/>
    </row>
    <row r="79" spans="1:17" ht="15.75" x14ac:dyDescent="0.25">
      <c r="A79" s="11"/>
      <c r="B79" s="11"/>
      <c r="C79" s="21"/>
      <c r="D79" s="14"/>
      <c r="E79" s="8"/>
      <c r="F79" s="41" t="s">
        <v>15</v>
      </c>
      <c r="G79" s="36"/>
      <c r="H79" s="36"/>
      <c r="I79" s="37"/>
      <c r="J79" s="41" t="s">
        <v>16</v>
      </c>
      <c r="K79" s="36"/>
      <c r="L79" s="36"/>
      <c r="M79" s="37"/>
      <c r="N79" s="27"/>
      <c r="O79" s="27"/>
      <c r="P79" s="29"/>
      <c r="Q79" s="28"/>
    </row>
    <row r="80" spans="1:17" ht="15.75" x14ac:dyDescent="0.25">
      <c r="A80" s="11"/>
      <c r="B80" s="12"/>
      <c r="C80" s="17"/>
      <c r="D80" s="3" t="s">
        <v>3</v>
      </c>
      <c r="E80" s="9" t="s">
        <v>9</v>
      </c>
      <c r="F80" s="9" t="s">
        <v>7</v>
      </c>
      <c r="G80" s="9" t="s">
        <v>5</v>
      </c>
      <c r="H80" s="9" t="s">
        <v>14</v>
      </c>
      <c r="I80" s="9" t="s">
        <v>11</v>
      </c>
      <c r="J80" s="9" t="s">
        <v>7</v>
      </c>
      <c r="K80" s="9" t="s">
        <v>5</v>
      </c>
      <c r="L80" s="9" t="s">
        <v>14</v>
      </c>
      <c r="M80" s="9" t="s">
        <v>11</v>
      </c>
      <c r="N80" s="27"/>
      <c r="O80" s="27"/>
      <c r="P80" s="29"/>
      <c r="Q80" s="28"/>
    </row>
    <row r="81" spans="1:17" ht="15.75" x14ac:dyDescent="0.25">
      <c r="A81" s="11"/>
      <c r="B81" s="12"/>
      <c r="C81" s="17"/>
      <c r="D81" s="7" t="s">
        <v>4</v>
      </c>
      <c r="E81" s="10" t="s">
        <v>10</v>
      </c>
      <c r="F81" s="10" t="s">
        <v>14</v>
      </c>
      <c r="G81" s="10" t="s">
        <v>6</v>
      </c>
      <c r="H81" s="10" t="s">
        <v>8</v>
      </c>
      <c r="I81" s="10" t="s">
        <v>12</v>
      </c>
      <c r="J81" s="10" t="s">
        <v>14</v>
      </c>
      <c r="K81" s="10" t="s">
        <v>6</v>
      </c>
      <c r="L81" s="10" t="s">
        <v>8</v>
      </c>
      <c r="M81" s="10" t="s">
        <v>12</v>
      </c>
      <c r="N81" s="27"/>
      <c r="O81" s="27"/>
      <c r="P81" s="29"/>
      <c r="Q81" s="28"/>
    </row>
    <row r="82" spans="1:17" ht="15.75" x14ac:dyDescent="0.25">
      <c r="A82" s="20"/>
      <c r="B82" s="22"/>
      <c r="C82" s="23"/>
      <c r="D82" s="2" t="s">
        <v>21</v>
      </c>
      <c r="E82" s="4" t="s">
        <v>21</v>
      </c>
      <c r="F82" s="4">
        <v>238</v>
      </c>
      <c r="G82" s="25">
        <v>1020.996</v>
      </c>
      <c r="H82" s="5">
        <f>F82/G82</f>
        <v>0.23310571246116538</v>
      </c>
      <c r="I82" s="33">
        <v>28.118300000000001</v>
      </c>
      <c r="J82" s="4">
        <v>226</v>
      </c>
      <c r="K82" s="25">
        <v>1045.6759999999999</v>
      </c>
      <c r="L82" s="5">
        <f>J82/K82</f>
        <v>0.21612813146710838</v>
      </c>
      <c r="M82" s="33">
        <v>268.12540000000001</v>
      </c>
      <c r="N82" s="27"/>
      <c r="O82" s="27"/>
      <c r="P82" s="29"/>
      <c r="Q82" s="28"/>
    </row>
    <row r="83" spans="1:17" ht="15.75" x14ac:dyDescent="0.25">
      <c r="B83" s="1"/>
      <c r="C83" s="1"/>
      <c r="D83" s="27"/>
      <c r="E83" s="27"/>
      <c r="F83" s="27"/>
      <c r="G83" s="28"/>
      <c r="H83" s="29"/>
      <c r="I83" s="27"/>
      <c r="J83" s="27"/>
      <c r="K83" s="30"/>
      <c r="L83" s="29"/>
      <c r="M83" s="28"/>
      <c r="N83" s="27"/>
      <c r="O83" s="27"/>
      <c r="P83" s="29"/>
      <c r="Q83" s="28"/>
    </row>
    <row r="84" spans="1:17" ht="15.75" x14ac:dyDescent="0.25">
      <c r="A84" s="1" t="s">
        <v>33</v>
      </c>
    </row>
    <row r="85" spans="1:17" ht="15.75" x14ac:dyDescent="0.25">
      <c r="A85" s="1" t="s">
        <v>36</v>
      </c>
    </row>
    <row r="86" spans="1:17" ht="15.75" x14ac:dyDescent="0.25">
      <c r="A86" s="1" t="s">
        <v>35</v>
      </c>
    </row>
    <row r="87" spans="1:17" ht="15.75" x14ac:dyDescent="0.25">
      <c r="A87" s="1" t="s">
        <v>34</v>
      </c>
    </row>
    <row r="88" spans="1:17" ht="15.75" x14ac:dyDescent="0.25">
      <c r="A88" s="1" t="s">
        <v>26</v>
      </c>
    </row>
  </sheetData>
  <mergeCells count="65">
    <mergeCell ref="F74:I74"/>
    <mergeCell ref="J74:M74"/>
    <mergeCell ref="A77:A78"/>
    <mergeCell ref="D78:M78"/>
    <mergeCell ref="F79:I79"/>
    <mergeCell ref="J79:M79"/>
    <mergeCell ref="A67:A68"/>
    <mergeCell ref="D68:M68"/>
    <mergeCell ref="F69:I69"/>
    <mergeCell ref="J69:M69"/>
    <mergeCell ref="D73:M73"/>
    <mergeCell ref="F59:I59"/>
    <mergeCell ref="J59:M59"/>
    <mergeCell ref="D63:M63"/>
    <mergeCell ref="F64:I64"/>
    <mergeCell ref="J64:M64"/>
    <mergeCell ref="D53:M53"/>
    <mergeCell ref="F54:I54"/>
    <mergeCell ref="J54:M54"/>
    <mergeCell ref="A57:A58"/>
    <mergeCell ref="D58:M58"/>
    <mergeCell ref="A47:A48"/>
    <mergeCell ref="F49:I49"/>
    <mergeCell ref="J49:M49"/>
    <mergeCell ref="D48:M48"/>
    <mergeCell ref="F39:I39"/>
    <mergeCell ref="J39:M39"/>
    <mergeCell ref="N39:Q39"/>
    <mergeCell ref="F44:I44"/>
    <mergeCell ref="J44:M44"/>
    <mergeCell ref="D43:M43"/>
    <mergeCell ref="D33:Q33"/>
    <mergeCell ref="F34:I34"/>
    <mergeCell ref="J34:M34"/>
    <mergeCell ref="N34:Q34"/>
    <mergeCell ref="A37:A38"/>
    <mergeCell ref="D38:Q38"/>
    <mergeCell ref="A27:A28"/>
    <mergeCell ref="D28:Q28"/>
    <mergeCell ref="F29:I29"/>
    <mergeCell ref="J29:M29"/>
    <mergeCell ref="N29:Q29"/>
    <mergeCell ref="D23:Q23"/>
    <mergeCell ref="F24:I24"/>
    <mergeCell ref="J24:M24"/>
    <mergeCell ref="N24:Q24"/>
    <mergeCell ref="F19:I19"/>
    <mergeCell ref="J19:M19"/>
    <mergeCell ref="N19:Q19"/>
    <mergeCell ref="F14:I14"/>
    <mergeCell ref="J14:M14"/>
    <mergeCell ref="N14:Q14"/>
    <mergeCell ref="A17:A18"/>
    <mergeCell ref="D18:Q18"/>
    <mergeCell ref="A1:Q1"/>
    <mergeCell ref="A7:A8"/>
    <mergeCell ref="D13:Q13"/>
    <mergeCell ref="D3:Q3"/>
    <mergeCell ref="D8:Q8"/>
    <mergeCell ref="F4:I4"/>
    <mergeCell ref="J4:M4"/>
    <mergeCell ref="N4:Q4"/>
    <mergeCell ref="F9:I9"/>
    <mergeCell ref="J9:M9"/>
    <mergeCell ref="N9:Q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AGNEW</dc:creator>
  <cp:lastModifiedBy>ROBERT AGNEW</cp:lastModifiedBy>
  <cp:lastPrinted>2026-04-03T17:51:15Z</cp:lastPrinted>
  <dcterms:created xsi:type="dcterms:W3CDTF">2026-04-02T16:54:57Z</dcterms:created>
  <dcterms:modified xsi:type="dcterms:W3CDTF">2026-04-03T18:27:49Z</dcterms:modified>
</cp:coreProperties>
</file>